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hongzhonghu/Desktop/after-sales/outputs/merge_luozong_20260729/"/>
    </mc:Choice>
  </mc:AlternateContent>
  <xr:revisionPtr revIDLastSave="0" documentId="13_ncr:1_{86448584-6786-A343-A10B-81D37BACCAF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F8" i="2"/>
  <c r="G7" i="2"/>
  <c r="F7" i="2"/>
  <c r="G6" i="2"/>
  <c r="F6" i="2"/>
  <c r="G5" i="2"/>
  <c r="F5" i="2"/>
  <c r="G4" i="2"/>
  <c r="F4" i="2"/>
  <c r="G3" i="2"/>
  <c r="F3" i="2"/>
  <c r="H9" i="1"/>
  <c r="G9" i="1"/>
  <c r="H8" i="1"/>
  <c r="G8" i="1"/>
  <c r="H6" i="1"/>
  <c r="G6" i="1"/>
</calcChain>
</file>

<file path=xl/sharedStrings.xml><?xml version="1.0" encoding="utf-8"?>
<sst xmlns="http://schemas.openxmlformats.org/spreadsheetml/2006/main" count="53" uniqueCount="28">
  <si>
    <t>产品</t>
  </si>
  <si>
    <t>成分</t>
  </si>
  <si>
    <t>颜色</t>
  </si>
  <si>
    <t>尺寸</t>
  </si>
  <si>
    <t>克重</t>
  </si>
  <si>
    <t>单面</t>
  </si>
  <si>
    <t>双面</t>
  </si>
  <si>
    <t>180g 纯棉 短袖T-恤</t>
  </si>
  <si>
    <t>100%棉</t>
  </si>
  <si>
    <t>黑，白</t>
  </si>
  <si>
    <t>S-3XL</t>
  </si>
  <si>
    <t>S-150g, M-170g, L-190g, XL-205g, 2XL-225g, 3XL-250g</t>
  </si>
  <si>
    <t>4XL-5XL</t>
  </si>
  <si>
    <t>4XL-275g, 5XL-300g</t>
  </si>
  <si>
    <t>深灰，浅灰，红，橘，紫，蓝，黄，绿，粉，棕</t>
  </si>
  <si>
    <t>160g 纯棉 短袖T-恤</t>
  </si>
  <si>
    <t>S-150g, M-160g, L-175g, XL-190g, 2XL-205g, 3XL-220g</t>
  </si>
  <si>
    <t>4XL-230g, 5XL-245g</t>
  </si>
  <si>
    <t>180g CVC 短袖T-恤</t>
  </si>
  <si>
    <t>CVC</t>
  </si>
  <si>
    <t>罗总价格计算依据</t>
  </si>
  <si>
    <t>款号</t>
  </si>
  <si>
    <t>适用尺码</t>
  </si>
  <si>
    <t>原衣价格</t>
  </si>
  <si>
    <t>1图价格</t>
  </si>
  <si>
    <t>2图价格</t>
  </si>
  <si>
    <t>180TSH</t>
  </si>
  <si>
    <t>TSH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</si>
</sst>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_ ;_ * \-#,##0_ ;_ * &quot;-&quot;_ ;_ @_ "/>
    <numFmt numFmtId="165" formatCode="_ &quot;￥&quot;* #,##0_ ;_ &quot;￥&quot;* \-#,##0_ ;_ &quot;￥&quot;* &quot;-&quot;_ ;_ @_ "/>
    <numFmt numFmtId="166" formatCode="_ * #,##0.00_ ;_ * \-#,##0.00_ ;_ * &quot;-&quot;??_ ;_ @_ "/>
    <numFmt numFmtId="167" formatCode="_ &quot;￥&quot;* #,##0.00_ ;_ &quot;￥&quot;* \-#,##0.00_ ;_ &quot;￥&quot;* &quot;-&quot;??_ ;_ @_ "/>
  </numFmts>
  <fonts count="25">
    <font>
      <sz val="11"/>
      <color theme="1"/>
      <name val="宋体"/>
    </font>
    <font>
      <b/>
      <sz val="14"/>
      <color rgb="FFCCFFCC"/>
      <name val="宋体"/>
      <charset val="134"/>
    </font>
    <font>
      <sz val="14"/>
      <color theme="1"/>
      <name val="宋体"/>
      <charset val="134"/>
    </font>
    <font>
      <b/>
      <sz val="14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color theme="1"/>
      <name val="宋体"/>
      <charset val="134"/>
    </font>
    <font>
      <b/>
      <sz val="11"/>
      <color rgb="FF1F2937"/>
      <name val="宋体"/>
      <charset val="134"/>
    </font>
    <font>
      <sz val="11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6" tint="-0.49995422223578601"/>
        <bgColor indexed="65"/>
      </patternFill>
    </fill>
    <fill>
      <patternFill patternType="solid">
        <fgColor rgb="FFCCFFCC"/>
      </patternFill>
    </fill>
    <fill>
      <patternFill patternType="solid">
        <fgColor theme="9" tint="0.79995117038483843"/>
        <bgColor indexed="65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15B45"/>
      </patternFill>
    </fill>
    <fill>
      <patternFill patternType="solid">
        <fgColor rgb="FFDCE9E1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8C7BD"/>
      </left>
      <right style="thin">
        <color rgb="FFB8C7BD"/>
      </right>
      <top style="thin">
        <color rgb="FFB8C7BD"/>
      </top>
      <bottom style="thin">
        <color rgb="FFB8C7BD"/>
      </bottom>
      <diagonal/>
    </border>
    <border>
      <left style="thin">
        <color rgb="FFD8E0DB"/>
      </left>
      <right style="thin">
        <color rgb="FFD8E0DB"/>
      </right>
      <top style="thin">
        <color rgb="FFD8E0DB"/>
      </top>
      <bottom style="thin">
        <color rgb="FFD8E0DB"/>
      </bottom>
      <diagonal/>
    </border>
  </borders>
  <cellStyleXfs count="50">
    <xf numFmtId="0" fontId="0" fillId="0" borderId="0">
      <alignment vertical="center"/>
    </xf>
    <xf numFmtId="166" fontId="24" fillId="0" borderId="0">
      <alignment vertical="center"/>
    </xf>
    <xf numFmtId="167" fontId="24" fillId="0" borderId="0">
      <alignment vertical="center"/>
    </xf>
    <xf numFmtId="9" fontId="24" fillId="0" borderId="0">
      <alignment vertical="center"/>
    </xf>
    <xf numFmtId="164" fontId="24" fillId="0" borderId="0">
      <alignment vertical="center"/>
    </xf>
    <xf numFmtId="165" fontId="2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24" fillId="5" borderId="9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0">
      <alignment vertical="center"/>
    </xf>
    <xf numFmtId="0" fontId="10" fillId="0" borderId="10">
      <alignment vertical="center"/>
    </xf>
    <xf numFmtId="0" fontId="11" fillId="0" borderId="11">
      <alignment vertical="center"/>
    </xf>
    <xf numFmtId="0" fontId="11" fillId="0" borderId="0">
      <alignment vertical="center"/>
    </xf>
    <xf numFmtId="0" fontId="12" fillId="6" borderId="12">
      <alignment vertical="center"/>
    </xf>
    <xf numFmtId="0" fontId="13" fillId="7" borderId="13">
      <alignment vertical="center"/>
    </xf>
    <xf numFmtId="0" fontId="14" fillId="7" borderId="12">
      <alignment vertical="center"/>
    </xf>
    <xf numFmtId="0" fontId="15" fillId="8" borderId="14">
      <alignment vertical="center"/>
    </xf>
    <xf numFmtId="0" fontId="16" fillId="0" borderId="15">
      <alignment vertical="center"/>
    </xf>
    <xf numFmtId="0" fontId="17" fillId="0" borderId="16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2" fillId="4" borderId="0">
      <alignment vertical="center"/>
    </xf>
    <xf numFmtId="0" fontId="22" fillId="33" borderId="0">
      <alignment vertical="center"/>
    </xf>
    <xf numFmtId="0" fontId="21" fillId="34" borderId="0">
      <alignment vertical="center"/>
    </xf>
    <xf numFmtId="0" fontId="24" fillId="0" borderId="0">
      <alignment vertical="center"/>
    </xf>
  </cellStyleXfs>
  <cellXfs count="34">
    <xf numFmtId="0" fontId="0" fillId="0" borderId="0" xfId="0">
      <alignment vertical="center"/>
    </xf>
    <xf numFmtId="0" fontId="1" fillId="2" borderId="0" xfId="49" applyFont="1" applyFill="1" applyAlignment="1">
      <alignment horizontal="center" vertical="center"/>
    </xf>
    <xf numFmtId="0" fontId="2" fillId="3" borderId="1" xfId="49" applyFont="1" applyFill="1" applyBorder="1" applyAlignment="1">
      <alignment horizontal="center" vertical="center" wrapText="1"/>
    </xf>
    <xf numFmtId="0" fontId="2" fillId="3" borderId="1" xfId="49" applyFont="1" applyFill="1" applyBorder="1" applyAlignment="1">
      <alignment horizontal="center" vertical="center"/>
    </xf>
    <xf numFmtId="0" fontId="2" fillId="3" borderId="0" xfId="49" applyFont="1" applyFill="1" applyAlignment="1">
      <alignment horizontal="center" vertical="center"/>
    </xf>
    <xf numFmtId="0" fontId="2" fillId="3" borderId="2" xfId="49" applyFont="1" applyFill="1" applyBorder="1" applyAlignment="1">
      <alignment horizontal="left" vertical="center"/>
    </xf>
    <xf numFmtId="0" fontId="2" fillId="3" borderId="8" xfId="49" applyFont="1" applyFill="1" applyBorder="1" applyAlignment="1">
      <alignment horizontal="left" vertical="center"/>
    </xf>
    <xf numFmtId="0" fontId="2" fillId="4" borderId="2" xfId="49" applyFont="1" applyFill="1" applyBorder="1" applyAlignment="1">
      <alignment horizontal="left" vertical="center"/>
    </xf>
    <xf numFmtId="0" fontId="23" fillId="36" borderId="17" xfId="49" applyFont="1" applyFill="1" applyBorder="1" applyAlignment="1">
      <alignment horizontal="center" vertical="center"/>
    </xf>
    <xf numFmtId="0" fontId="0" fillId="0" borderId="18" xfId="49" applyFont="1" applyBorder="1">
      <alignment vertical="center"/>
    </xf>
    <xf numFmtId="0" fontId="0" fillId="0" borderId="18" xfId="49" applyFont="1" applyBorder="1" applyAlignment="1">
      <alignment horizontal="center" vertical="center"/>
    </xf>
    <xf numFmtId="2" fontId="0" fillId="0" borderId="18" xfId="49" applyNumberFormat="1" applyFont="1" applyBorder="1">
      <alignment vertical="center"/>
    </xf>
    <xf numFmtId="2" fontId="3" fillId="3" borderId="2" xfId="49" applyNumberFormat="1" applyFont="1" applyFill="1" applyBorder="1" applyAlignment="1">
      <alignment horizontal="center" vertical="center"/>
    </xf>
    <xf numFmtId="2" fontId="3" fillId="3" borderId="8" xfId="49" applyNumberFormat="1" applyFont="1" applyFill="1" applyBorder="1" applyAlignment="1">
      <alignment horizontal="center" vertical="center"/>
    </xf>
    <xf numFmtId="2" fontId="3" fillId="4" borderId="2" xfId="49" applyNumberFormat="1" applyFont="1" applyFill="1" applyBorder="1" applyAlignment="1">
      <alignment horizontal="center" vertical="center"/>
    </xf>
    <xf numFmtId="0" fontId="1" fillId="2" borderId="0" xfId="49" applyFont="1" applyFill="1" applyAlignment="1">
      <alignment horizontal="center" vertical="center"/>
    </xf>
    <xf numFmtId="0" fontId="2" fillId="3" borderId="3" xfId="49" applyFont="1" applyFill="1" applyBorder="1" applyAlignment="1">
      <alignment horizontal="left" vertical="center" wrapText="1"/>
    </xf>
    <xf numFmtId="0" fontId="2" fillId="3" borderId="4" xfId="49" applyFont="1" applyFill="1" applyBorder="1" applyAlignment="1">
      <alignment horizontal="left" vertical="center" wrapText="1"/>
    </xf>
    <xf numFmtId="0" fontId="2" fillId="3" borderId="6" xfId="49" applyFont="1" applyFill="1" applyBorder="1" applyAlignment="1">
      <alignment horizontal="left" vertical="center"/>
    </xf>
    <xf numFmtId="0" fontId="2" fillId="3" borderId="7" xfId="49" applyFont="1" applyFill="1" applyBorder="1" applyAlignment="1">
      <alignment horizontal="left" vertical="center"/>
    </xf>
    <xf numFmtId="0" fontId="2" fillId="4" borderId="3" xfId="49" applyFont="1" applyFill="1" applyBorder="1" applyAlignment="1">
      <alignment horizontal="left" vertical="center" wrapText="1"/>
    </xf>
    <xf numFmtId="0" fontId="2" fillId="4" borderId="4" xfId="49" applyFont="1" applyFill="1" applyBorder="1" applyAlignment="1">
      <alignment horizontal="left" vertical="center" wrapText="1"/>
    </xf>
    <xf numFmtId="0" fontId="2" fillId="4" borderId="6" xfId="49" applyFont="1" applyFill="1" applyBorder="1" applyAlignment="1">
      <alignment horizontal="left" vertical="center"/>
    </xf>
    <xf numFmtId="0" fontId="2" fillId="4" borderId="7" xfId="49" applyFont="1" applyFill="1" applyBorder="1" applyAlignment="1">
      <alignment horizontal="left" vertical="center"/>
    </xf>
    <xf numFmtId="0" fontId="2" fillId="3" borderId="1" xfId="49" applyFont="1" applyFill="1" applyBorder="1" applyAlignment="1">
      <alignment horizontal="center" vertical="center" wrapText="1"/>
    </xf>
    <xf numFmtId="0" fontId="2" fillId="3" borderId="2" xfId="49" applyFont="1" applyFill="1" applyBorder="1" applyAlignment="1">
      <alignment horizontal="center" vertical="center" wrapText="1"/>
    </xf>
    <xf numFmtId="0" fontId="2" fillId="3" borderId="1" xfId="49" applyFont="1" applyFill="1" applyBorder="1" applyAlignment="1">
      <alignment horizontal="center" vertical="center"/>
    </xf>
    <xf numFmtId="0" fontId="2" fillId="3" borderId="2" xfId="49" applyFont="1" applyFill="1" applyBorder="1" applyAlignment="1">
      <alignment horizontal="center" vertical="center"/>
    </xf>
    <xf numFmtId="0" fontId="2" fillId="3" borderId="0" xfId="49" applyFont="1" applyFill="1" applyAlignment="1">
      <alignment horizontal="center" vertical="center"/>
    </xf>
    <xf numFmtId="0" fontId="2" fillId="3" borderId="5" xfId="49" applyFont="1" applyFill="1" applyBorder="1" applyAlignment="1">
      <alignment horizontal="center" vertical="center"/>
    </xf>
    <xf numFmtId="0" fontId="2" fillId="3" borderId="0" xfId="49" applyFont="1" applyFill="1" applyAlignment="1">
      <alignment horizontal="left" vertical="center" wrapText="1"/>
    </xf>
    <xf numFmtId="0" fontId="2" fillId="3" borderId="5" xfId="49" applyFont="1" applyFill="1" applyBorder="1" applyAlignment="1">
      <alignment horizontal="left" vertical="center" wrapText="1"/>
    </xf>
    <xf numFmtId="0" fontId="2" fillId="4" borderId="5" xfId="49" applyFont="1" applyFill="1" applyBorder="1" applyAlignment="1">
      <alignment horizontal="center" vertical="center"/>
    </xf>
    <xf numFmtId="0" fontId="15" fillId="35" borderId="0" xfId="49" applyFont="1" applyFill="1" applyAlignment="1">
      <alignment horizontal="center" vertical="center"/>
    </xf>
  </cellXfs>
  <cellStyles count="50">
    <cellStyle name="20% - 强调文字颜色 1" xfId="26" xr:uid="{00000000-0005-0000-0000-00001A000000}"/>
    <cellStyle name="20% - 强调文字颜色 2" xfId="30" xr:uid="{00000000-0005-0000-0000-00001E000000}"/>
    <cellStyle name="20% - 强调文字颜色 3" xfId="34" xr:uid="{00000000-0005-0000-0000-000022000000}"/>
    <cellStyle name="20% - 强调文字颜色 4" xfId="38" xr:uid="{00000000-0005-0000-0000-000026000000}"/>
    <cellStyle name="20% - 强调文字颜色 5" xfId="42" xr:uid="{00000000-0005-0000-0000-00002A000000}"/>
    <cellStyle name="20% - 强调文字颜色 6" xfId="46" xr:uid="{00000000-0005-0000-0000-00002E000000}"/>
    <cellStyle name="40% - 强调文字颜色 1" xfId="27" xr:uid="{00000000-0005-0000-0000-00001B000000}"/>
    <cellStyle name="40% - 强调文字颜色 2" xfId="31" xr:uid="{00000000-0005-0000-0000-00001F000000}"/>
    <cellStyle name="40% - 强调文字颜色 3" xfId="35" xr:uid="{00000000-0005-0000-0000-000023000000}"/>
    <cellStyle name="40% - 强调文字颜色 4" xfId="39" xr:uid="{00000000-0005-0000-0000-000027000000}"/>
    <cellStyle name="40% - 强调文字颜色 5" xfId="43" xr:uid="{00000000-0005-0000-0000-00002B000000}"/>
    <cellStyle name="40% - 强调文字颜色 6" xfId="47" xr:uid="{00000000-0005-0000-0000-00002F000000}"/>
    <cellStyle name="60% - 强调文字颜色 1" xfId="28" xr:uid="{00000000-0005-0000-0000-00001C000000}"/>
    <cellStyle name="60% - 强调文字颜色 2" xfId="32" xr:uid="{00000000-0005-0000-0000-000020000000}"/>
    <cellStyle name="60% - 强调文字颜色 3" xfId="36" xr:uid="{00000000-0005-0000-0000-000024000000}"/>
    <cellStyle name="60% - 强调文字颜色 4" xfId="40" xr:uid="{00000000-0005-0000-0000-000028000000}"/>
    <cellStyle name="60% - 强调文字颜色 5" xfId="44" xr:uid="{00000000-0005-0000-0000-00002C000000}"/>
    <cellStyle name="60% - 强调文字颜色 6" xfId="48" xr:uid="{00000000-0005-0000-0000-000030000000}"/>
    <cellStyle name="Normal" xfId="0" builtinId="0"/>
    <cellStyle name="千位分隔" xfId="1" xr:uid="{00000000-0005-0000-0000-000001000000}"/>
    <cellStyle name="千位分隔[0]" xfId="4" xr:uid="{00000000-0005-0000-0000-000004000000}"/>
    <cellStyle name="好" xfId="22" xr:uid="{00000000-0005-0000-0000-000016000000}"/>
    <cellStyle name="差" xfId="23" xr:uid="{00000000-0005-0000-0000-000017000000}"/>
    <cellStyle name="已访问的超链接" xfId="7" xr:uid="{00000000-0005-0000-0000-000007000000}"/>
    <cellStyle name="常规" xfId="49" xr:uid="{00000000-0005-0000-0000-000000000000}"/>
    <cellStyle name="强调文字颜色 1" xfId="25" xr:uid="{00000000-0005-0000-0000-000019000000}"/>
    <cellStyle name="强调文字颜色 2" xfId="29" xr:uid="{00000000-0005-0000-0000-00001D000000}"/>
    <cellStyle name="强调文字颜色 3" xfId="33" xr:uid="{00000000-0005-0000-0000-000021000000}"/>
    <cellStyle name="强调文字颜色 4" xfId="37" xr:uid="{00000000-0005-0000-0000-000025000000}"/>
    <cellStyle name="强调文字颜色 5" xfId="41" xr:uid="{00000000-0005-0000-0000-000029000000}"/>
    <cellStyle name="强调文字颜色 6" xfId="45" xr:uid="{00000000-0005-0000-0000-00002D000000}"/>
    <cellStyle name="标题" xfId="10" xr:uid="{00000000-0005-0000-0000-00000A000000}"/>
    <cellStyle name="标题 1" xfId="12" xr:uid="{00000000-0005-0000-0000-00000C000000}"/>
    <cellStyle name="标题 2" xfId="13" xr:uid="{00000000-0005-0000-0000-00000D000000}"/>
    <cellStyle name="标题 3" xfId="14" xr:uid="{00000000-0005-0000-0000-00000E000000}"/>
    <cellStyle name="标题 4" xfId="15" xr:uid="{00000000-0005-0000-0000-00000F000000}"/>
    <cellStyle name="检查单元格" xfId="19" xr:uid="{00000000-0005-0000-0000-000013000000}"/>
    <cellStyle name="汇总" xfId="21" xr:uid="{00000000-0005-0000-0000-000015000000}"/>
    <cellStyle name="注释" xfId="8" xr:uid="{00000000-0005-0000-0000-000008000000}"/>
    <cellStyle name="百分比" xfId="3" xr:uid="{00000000-0005-0000-0000-000003000000}"/>
    <cellStyle name="解释性文本" xfId="11" xr:uid="{00000000-0005-0000-0000-00000B000000}"/>
    <cellStyle name="警告文本" xfId="9" xr:uid="{00000000-0005-0000-0000-000009000000}"/>
    <cellStyle name="计算" xfId="18" xr:uid="{00000000-0005-0000-0000-000012000000}"/>
    <cellStyle name="货币" xfId="2" xr:uid="{00000000-0005-0000-0000-000002000000}"/>
    <cellStyle name="货币[0]" xfId="5" xr:uid="{00000000-0005-0000-0000-000005000000}"/>
    <cellStyle name="超链接" xfId="6" xr:uid="{00000000-0005-0000-0000-000006000000}"/>
    <cellStyle name="输入" xfId="16" xr:uid="{00000000-0005-0000-0000-000010000000}"/>
    <cellStyle name="输出" xfId="17" xr:uid="{00000000-0005-0000-0000-000011000000}"/>
    <cellStyle name="适中" xfId="24" xr:uid="{00000000-0005-0000-0000-000018000000}"/>
    <cellStyle name="链接单元格" xfId="20" xr:uid="{00000000-0005-0000-0000-00001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H8" sqref="H8"/>
    </sheetView>
  </sheetViews>
  <sheetFormatPr baseColWidth="10" defaultColWidth="9" defaultRowHeight="14"/>
  <cols>
    <col min="1" max="1" width="22.6640625" customWidth="1"/>
    <col min="2" max="2" width="9" customWidth="1"/>
    <col min="3" max="3" width="50.6640625" customWidth="1"/>
    <col min="4" max="4" width="10.33203125" customWidth="1"/>
    <col min="6" max="6" width="17.6640625" customWidth="1"/>
    <col min="7" max="8" width="9.83203125"/>
  </cols>
  <sheetData>
    <row r="1" spans="1:8" ht="17">
      <c r="A1" s="1" t="s">
        <v>0</v>
      </c>
      <c r="B1" s="1" t="s">
        <v>1</v>
      </c>
      <c r="C1" s="1" t="s">
        <v>2</v>
      </c>
      <c r="D1" s="1" t="s">
        <v>3</v>
      </c>
      <c r="E1" s="15" t="s">
        <v>4</v>
      </c>
      <c r="F1" s="15"/>
      <c r="G1" s="1" t="s">
        <v>5</v>
      </c>
      <c r="H1" s="1" t="s">
        <v>6</v>
      </c>
    </row>
    <row r="2" spans="1:8" ht="117.25" customHeight="1">
      <c r="A2" s="24" t="s">
        <v>7</v>
      </c>
      <c r="B2" s="26" t="s">
        <v>8</v>
      </c>
      <c r="C2" s="28" t="s">
        <v>9</v>
      </c>
      <c r="D2" s="5" t="s">
        <v>10</v>
      </c>
      <c r="E2" s="16" t="s">
        <v>11</v>
      </c>
      <c r="F2" s="17"/>
      <c r="G2" s="12">
        <v>21</v>
      </c>
      <c r="H2" s="12">
        <v>23</v>
      </c>
    </row>
    <row r="3" spans="1:8" ht="17">
      <c r="A3" s="24"/>
      <c r="B3" s="26"/>
      <c r="C3" s="29"/>
      <c r="D3" s="5" t="s">
        <v>12</v>
      </c>
      <c r="E3" s="18" t="s">
        <v>13</v>
      </c>
      <c r="F3" s="19"/>
      <c r="G3" s="12">
        <v>23</v>
      </c>
      <c r="H3" s="12">
        <v>25</v>
      </c>
    </row>
    <row r="4" spans="1:8" ht="129.25" customHeight="1">
      <c r="A4" s="24"/>
      <c r="B4" s="26"/>
      <c r="C4" s="30" t="s">
        <v>14</v>
      </c>
      <c r="D4" s="6" t="s">
        <v>10</v>
      </c>
      <c r="E4" s="16" t="s">
        <v>11</v>
      </c>
      <c r="F4" s="17"/>
      <c r="G4" s="12">
        <v>23</v>
      </c>
      <c r="H4" s="12">
        <v>25</v>
      </c>
    </row>
    <row r="5" spans="1:8" ht="113.25" customHeight="1">
      <c r="A5" s="25"/>
      <c r="B5" s="27"/>
      <c r="C5" s="31"/>
      <c r="D5" s="5" t="s">
        <v>12</v>
      </c>
      <c r="E5" s="18" t="s">
        <v>13</v>
      </c>
      <c r="F5" s="19"/>
      <c r="G5" s="13">
        <v>25</v>
      </c>
      <c r="H5" s="12">
        <v>27</v>
      </c>
    </row>
    <row r="6" spans="1:8" ht="126.75" customHeight="1">
      <c r="A6" s="24" t="s">
        <v>15</v>
      </c>
      <c r="B6" s="26" t="s">
        <v>8</v>
      </c>
      <c r="C6" s="28" t="s">
        <v>9</v>
      </c>
      <c r="D6" s="7" t="s">
        <v>10</v>
      </c>
      <c r="E6" s="20" t="s">
        <v>16</v>
      </c>
      <c r="F6" s="21"/>
      <c r="G6" s="14">
        <f>Sheet2!F5</f>
        <v>17.5</v>
      </c>
      <c r="H6" s="14">
        <f>Sheet2!G5</f>
        <v>19.5</v>
      </c>
    </row>
    <row r="7" spans="1:8" ht="46.75" customHeight="1">
      <c r="A7" s="24"/>
      <c r="B7" s="26"/>
      <c r="C7" s="32"/>
      <c r="D7" s="7" t="s">
        <v>12</v>
      </c>
      <c r="E7" s="22" t="s">
        <v>17</v>
      </c>
      <c r="F7" s="23"/>
      <c r="G7" s="14">
        <v>19.5</v>
      </c>
      <c r="H7" s="14">
        <v>21.5</v>
      </c>
    </row>
    <row r="8" spans="1:8" ht="129.25" customHeight="1">
      <c r="A8" s="24" t="s">
        <v>18</v>
      </c>
      <c r="B8" s="26" t="s">
        <v>19</v>
      </c>
      <c r="C8" s="28" t="s">
        <v>9</v>
      </c>
      <c r="D8" s="5" t="s">
        <v>10</v>
      </c>
      <c r="E8" s="16" t="s">
        <v>11</v>
      </c>
      <c r="F8" s="17"/>
      <c r="G8" s="12">
        <f>Sheet2!F7</f>
        <v>15</v>
      </c>
      <c r="H8" s="12">
        <f>Sheet2!G7</f>
        <v>17</v>
      </c>
    </row>
    <row r="9" spans="1:8" ht="17">
      <c r="A9" s="25"/>
      <c r="B9" s="27"/>
      <c r="C9" s="29"/>
      <c r="D9" s="5" t="s">
        <v>12</v>
      </c>
      <c r="E9" s="18" t="s">
        <v>13</v>
      </c>
      <c r="F9" s="19"/>
      <c r="G9" s="12">
        <f>Sheet2!F8</f>
        <v>17</v>
      </c>
      <c r="H9" s="12">
        <f>Sheet2!G8</f>
        <v>19</v>
      </c>
    </row>
    <row r="14" spans="1:8" ht="17">
      <c r="A14" s="2"/>
      <c r="B14" s="3"/>
      <c r="C14" s="4"/>
    </row>
  </sheetData>
  <mergeCells count="19">
    <mergeCell ref="E6:F6"/>
    <mergeCell ref="E7:F7"/>
    <mergeCell ref="E8:F8"/>
    <mergeCell ref="E9:F9"/>
    <mergeCell ref="A2:A5"/>
    <mergeCell ref="A6:A7"/>
    <mergeCell ref="A8:A9"/>
    <mergeCell ref="B2:B5"/>
    <mergeCell ref="B6:B7"/>
    <mergeCell ref="B8:B9"/>
    <mergeCell ref="C2:C3"/>
    <mergeCell ref="C4:C5"/>
    <mergeCell ref="C6:C7"/>
    <mergeCell ref="C8:C9"/>
    <mergeCell ref="E1:F1"/>
    <mergeCell ref="E2:F2"/>
    <mergeCell ref="E3:F3"/>
    <mergeCell ref="E4:F4"/>
    <mergeCell ref="E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showGridLines="0" workbookViewId="0">
      <selection activeCell="C4" sqref="C4"/>
    </sheetView>
  </sheetViews>
  <sheetFormatPr baseColWidth="10" defaultColWidth="9" defaultRowHeight="14"/>
  <cols>
    <col min="1" max="1" width="13.5" customWidth="1"/>
    <col min="2" max="3" width="7" customWidth="1"/>
    <col min="4" max="5" width="6.33203125" customWidth="1"/>
    <col min="6" max="7" width="4.5" customWidth="1"/>
  </cols>
  <sheetData>
    <row r="1" spans="1:7" ht="13.5" customHeight="1">
      <c r="A1" s="33" t="s">
        <v>20</v>
      </c>
      <c r="B1" s="33"/>
      <c r="C1" s="33"/>
      <c r="D1" s="33"/>
      <c r="E1" s="33"/>
      <c r="F1" s="33"/>
      <c r="G1" s="33"/>
    </row>
    <row r="2" spans="1:7" ht="13.5" customHeight="1">
      <c r="A2" s="8" t="s">
        <v>21</v>
      </c>
      <c r="B2" s="8" t="s">
        <v>22</v>
      </c>
      <c r="C2" s="8" t="s">
        <v>23</v>
      </c>
      <c r="D2" s="8" t="s">
        <v>24</v>
      </c>
      <c r="E2" s="8" t="s">
        <v>25</v>
      </c>
      <c r="F2" s="8" t="s">
        <v>5</v>
      </c>
      <c r="G2" s="8" t="s">
        <v>6</v>
      </c>
    </row>
    <row r="3" spans="1:7" ht="13.5" customHeight="1">
      <c r="A3" s="9" t="s">
        <v>26</v>
      </c>
      <c r="B3" s="10" t="s">
        <v>10</v>
      </c>
      <c r="C3" s="11">
        <v>20</v>
      </c>
      <c r="D3" s="11">
        <v>1</v>
      </c>
      <c r="E3" s="11">
        <v>3</v>
      </c>
      <c r="F3" s="11">
        <f t="shared" ref="F3:F8" si="0">C3+D3</f>
        <v>21</v>
      </c>
      <c r="G3" s="11">
        <f t="shared" ref="G3:G8" si="1">C3+E3</f>
        <v>23</v>
      </c>
    </row>
    <row r="4" spans="1:7" ht="13.5" customHeight="1">
      <c r="A4" s="9" t="s">
        <v>26</v>
      </c>
      <c r="B4" s="10" t="s">
        <v>12</v>
      </c>
      <c r="C4" s="11">
        <v>24</v>
      </c>
      <c r="D4" s="11">
        <v>1</v>
      </c>
      <c r="E4" s="11">
        <v>3</v>
      </c>
      <c r="F4" s="11">
        <f t="shared" si="0"/>
        <v>25</v>
      </c>
      <c r="G4" s="11">
        <f t="shared" si="1"/>
        <v>27</v>
      </c>
    </row>
    <row r="5" spans="1:7" ht="13.5" customHeight="1">
      <c r="A5" s="9" t="s">
        <v>27</v>
      </c>
      <c r="B5" s="10" t="s">
        <v>10</v>
      </c>
      <c r="C5" s="11">
        <v>16.5</v>
      </c>
      <c r="D5" s="11">
        <v>1</v>
      </c>
      <c r="E5" s="11">
        <v>3</v>
      </c>
      <c r="F5" s="11">
        <f t="shared" si="0"/>
        <v>17.5</v>
      </c>
      <c r="G5" s="11">
        <f t="shared" si="1"/>
        <v>19.5</v>
      </c>
    </row>
    <row r="6" spans="1:7" ht="13.5" customHeight="1">
      <c r="A6" s="9" t="s">
        <v>27</v>
      </c>
      <c r="B6" s="10" t="s">
        <v>12</v>
      </c>
      <c r="C6" s="11">
        <v>19.5</v>
      </c>
      <c r="D6" s="11">
        <v>1</v>
      </c>
      <c r="E6" s="11">
        <v>3</v>
      </c>
      <c r="F6" s="11">
        <f t="shared" si="0"/>
        <v>20.5</v>
      </c>
      <c r="G6" s="11">
        <f t="shared" si="1"/>
        <v>22.5</v>
      </c>
    </row>
    <row r="7" spans="1:7" ht="13.5" customHeight="1">
      <c r="A7" s="9" t="s">
        <v>19</v>
      </c>
      <c r="B7" s="10" t="s">
        <v>10</v>
      </c>
      <c r="C7" s="11">
        <v>14</v>
      </c>
      <c r="D7" s="11">
        <v>1</v>
      </c>
      <c r="E7" s="11">
        <v>3</v>
      </c>
      <c r="F7" s="11">
        <f t="shared" si="0"/>
        <v>15</v>
      </c>
      <c r="G7" s="11">
        <f t="shared" si="1"/>
        <v>17</v>
      </c>
    </row>
    <row r="8" spans="1:7" ht="13.5" customHeight="1">
      <c r="A8" s="9" t="s">
        <v>19</v>
      </c>
      <c r="B8" s="10" t="s">
        <v>12</v>
      </c>
      <c r="C8" s="11">
        <v>16</v>
      </c>
      <c r="D8" s="11">
        <v>1</v>
      </c>
      <c r="E8" s="11">
        <v>3</v>
      </c>
      <c r="F8" s="11">
        <f t="shared" si="0"/>
        <v>17</v>
      </c>
      <c r="G8" s="11">
        <f t="shared" si="1"/>
        <v>19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Haloo POD</cp:lastModifiedBy>
  <dcterms:modified xsi:type="dcterms:W3CDTF">2026-07-30T03:52:03Z</dcterms:modified>
</cp:coreProperties>
</file>